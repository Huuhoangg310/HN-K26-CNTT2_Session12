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Don" sheetId="1" state="visible" r:id="rId1"/>
    <sheet xmlns:r="http://schemas.openxmlformats.org/officeDocument/2006/relationships" name="BangGia" sheetId="2" state="visible" r:id="rId2"/>
    <sheet xmlns:r="http://schemas.openxmlformats.org/officeDocument/2006/relationships" name="HuongDan" sheetId="3" state="visible" r:id="rId3"/>
  </sheets>
  <definedNames>
    <definedName name="_xlnm._FilterDatabase" localSheetId="0" hidden="1">'VanDon'!$A$1:$G$13</definedName>
    <definedName name="_xlnm._FilterDatabase" localSheetId="1" hidden="1">'BangGia'!$A$1:$C$7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anDonTable" displayName="VanDonTable" ref="A1:G13" headerRowCount="1">
  <autoFilter ref="A1:G13"/>
  <tableColumns count="7">
    <tableColumn id="1" name="Mã vận đơn"/>
    <tableColumn id="2" name="Mã dịch vụ"/>
    <tableColumn id="3" name="Khu vực"/>
    <tableColumn id="4" name="Khối lượng (kg)"/>
    <tableColumn id="5" name="Giá cước"/>
    <tableColumn id="6" name="Trạng thái"/>
    <tableColumn id="7" name="Thời gian xử lý (phút)"/>
  </tableColumns>
  <tableStyleInfo name="TableStyleMedium2" showRowStripes="1"/>
</table>
</file>

<file path=xl/tables/table2.xml><?xml version="1.0" encoding="utf-8"?>
<table xmlns="http://schemas.openxmlformats.org/spreadsheetml/2006/main" id="2" name="BangGiaTable" displayName="BangGiaTable" ref="A1:C7" headerRowCount="1">
  <autoFilter ref="A1:C7"/>
  <tableColumns count="3">
    <tableColumn id="1" name="Mã dịch vụ"/>
    <tableColumn id="2" name="Khu vực"/>
    <tableColumn id="3" name="Giá cước (VNĐ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22" customWidth="1" min="5" max="5"/>
    <col width="22" customWidth="1" min="6" max="6"/>
    <col width="25" customWidth="1" min="7" max="7"/>
    <col width="25" customWidth="1" min="8" max="8"/>
  </cols>
  <sheetData>
    <row r="1">
      <c r="A1" s="1" t="inlineStr">
        <is>
          <t>Mã vận đơn</t>
        </is>
      </c>
      <c r="B1" s="1" t="inlineStr">
        <is>
          <t>Mã dịch vụ</t>
        </is>
      </c>
      <c r="C1" s="1" t="inlineStr">
        <is>
          <t>Khu vực</t>
        </is>
      </c>
      <c r="D1" s="1" t="inlineStr">
        <is>
          <t>Khối lượng (kg)</t>
        </is>
      </c>
      <c r="E1" s="1" t="inlineStr">
        <is>
          <t>Giá cước</t>
        </is>
      </c>
      <c r="F1" s="1" t="inlineStr">
        <is>
          <t>Trạng thái</t>
        </is>
      </c>
      <c r="G1" s="1" t="inlineStr">
        <is>
          <t>Thời gian xử lý (phút)</t>
        </is>
      </c>
      <c r="H1" t="inlineStr">
        <is>
          <t>Khóa tra cứu</t>
        </is>
      </c>
    </row>
    <row r="2">
      <c r="A2" t="inlineStr">
        <is>
          <t>FM1001</t>
        </is>
      </c>
      <c r="B2" t="inlineStr">
        <is>
          <t>NỘI THÀNH</t>
        </is>
      </c>
      <c r="C2" t="inlineStr">
        <is>
          <t>Hà Nội</t>
        </is>
      </c>
      <c r="D2" t="n">
        <v>1</v>
      </c>
      <c r="E2">
        <f>IFERROR(VLOOKUP(H2,BangGia!$D$2:$E$7,2,FALSE),"Kiểm tra mã vận đơn")</f>
        <v/>
      </c>
      <c r="F2" t="inlineStr">
        <is>
          <t>Giao thành công</t>
        </is>
      </c>
      <c r="G2" t="n">
        <v>22</v>
      </c>
      <c r="H2">
        <f>B2&amp;"|"&amp;C2</f>
        <v/>
      </c>
    </row>
    <row r="3">
      <c r="A3" t="inlineStr">
        <is>
          <t>FM1002</t>
        </is>
      </c>
      <c r="B3" t="inlineStr">
        <is>
          <t>LIÊN TỈNH</t>
        </is>
      </c>
      <c r="C3" t="inlineStr">
        <is>
          <t>Hải Phòng</t>
        </is>
      </c>
      <c r="D3" t="n">
        <v>1.5</v>
      </c>
      <c r="E3">
        <f>IFERROR(VLOOKUP(H3,BangGia!$D$2:$E$7,2,FALSE),"Kiểm tra mã vận đơn")</f>
        <v/>
      </c>
      <c r="F3" t="inlineStr">
        <is>
          <t>Giao đúng hạn</t>
        </is>
      </c>
      <c r="G3" t="n">
        <v>35</v>
      </c>
      <c r="H3">
        <f>B3&amp;"|"&amp;C3</f>
        <v/>
      </c>
    </row>
    <row r="4">
      <c r="A4" t="inlineStr">
        <is>
          <t>FM1003</t>
        </is>
      </c>
      <c r="B4" t="inlineStr">
        <is>
          <t>NỘI THÀNH</t>
        </is>
      </c>
      <c r="C4" t="inlineStr">
        <is>
          <t>Hà Nội</t>
        </is>
      </c>
      <c r="D4" t="n">
        <v>2</v>
      </c>
      <c r="E4">
        <f>IFERROR(VLOOKUP(H4,BangGia!$D$2:$E$7,2,FALSE),"Kiểm tra mã vận đơn")</f>
        <v/>
      </c>
      <c r="F4" t="inlineStr">
        <is>
          <t>Giao thành công</t>
        </is>
      </c>
      <c r="G4" t="n">
        <v>18</v>
      </c>
      <c r="H4">
        <f>B4&amp;"|"&amp;C4</f>
        <v/>
      </c>
    </row>
    <row r="5">
      <c r="A5" t="inlineStr">
        <is>
          <t>FM1004</t>
        </is>
      </c>
      <c r="B5" t="inlineStr">
        <is>
          <t>NHANH</t>
        </is>
      </c>
      <c r="C5" t="inlineStr">
        <is>
          <t>Đà Nẵng</t>
        </is>
      </c>
      <c r="D5" t="n">
        <v>2.5</v>
      </c>
      <c r="E5">
        <f>IFERROR(VLOOKUP(H5,BangGia!$D$2:$E$7,2,FALSE),"Kiểm tra mã vận đơn")</f>
        <v/>
      </c>
      <c r="F5" t="inlineStr">
        <is>
          <t>Giao đúng hạn</t>
        </is>
      </c>
      <c r="G5" t="n">
        <v>28</v>
      </c>
      <c r="H5">
        <f>B5&amp;"|"&amp;C5</f>
        <v/>
      </c>
    </row>
    <row r="6">
      <c r="A6" t="inlineStr">
        <is>
          <t>FM1005</t>
        </is>
      </c>
      <c r="B6" t="inlineStr">
        <is>
          <t>LIÊN TỈNH</t>
        </is>
      </c>
      <c r="C6" t="inlineStr">
        <is>
          <t>TP.HCM</t>
        </is>
      </c>
      <c r="D6" t="n">
        <v>1</v>
      </c>
      <c r="E6">
        <f>IFERROR(VLOOKUP(H6,BangGia!$D$2:$E$7,2,FALSE),"Kiểm tra mã vận đơn")</f>
        <v/>
      </c>
      <c r="F6" t="inlineStr">
        <is>
          <t>Thất bại</t>
        </is>
      </c>
      <c r="G6" t="n">
        <v>47</v>
      </c>
      <c r="H6">
        <f>B6&amp;"|"&amp;C6</f>
        <v/>
      </c>
    </row>
    <row r="7">
      <c r="A7" t="inlineStr">
        <is>
          <t>FM1006</t>
        </is>
      </c>
      <c r="B7" t="inlineStr">
        <is>
          <t>NHANH</t>
        </is>
      </c>
      <c r="C7" t="inlineStr">
        <is>
          <t>Hà Nội</t>
        </is>
      </c>
      <c r="D7" t="n">
        <v>1.5</v>
      </c>
      <c r="E7">
        <f>IFERROR(VLOOKUP(H7,BangGia!$D$2:$E$7,2,FALSE),"Kiểm tra mã vận đơn")</f>
        <v/>
      </c>
      <c r="F7" t="inlineStr">
        <is>
          <t>Giao thành công</t>
        </is>
      </c>
      <c r="G7" t="n">
        <v>25</v>
      </c>
      <c r="H7">
        <f>B7&amp;"|"&amp;C7</f>
        <v/>
      </c>
    </row>
    <row r="8">
      <c r="A8" t="inlineStr">
        <is>
          <t>FM1007</t>
        </is>
      </c>
      <c r="B8" t="inlineStr">
        <is>
          <t>NỘI THÀNH</t>
        </is>
      </c>
      <c r="C8" t="inlineStr">
        <is>
          <t>TP.HCM</t>
        </is>
      </c>
      <c r="D8" t="n">
        <v>2</v>
      </c>
      <c r="E8">
        <f>IFERROR(VLOOKUP(H8,BangGia!$D$2:$E$7,2,FALSE),"Kiểm tra mã vận đơn")</f>
        <v/>
      </c>
      <c r="F8" t="inlineStr">
        <is>
          <t>Giao đúng hạn</t>
        </is>
      </c>
      <c r="G8" t="n">
        <v>31</v>
      </c>
      <c r="H8">
        <f>B8&amp;"|"&amp;C8</f>
        <v/>
      </c>
    </row>
    <row r="9">
      <c r="A9" t="inlineStr">
        <is>
          <t>FM1008</t>
        </is>
      </c>
      <c r="B9" t="inlineStr">
        <is>
          <t>LIÊN TỈNH</t>
        </is>
      </c>
      <c r="C9" t="inlineStr">
        <is>
          <t>Hải Phòng</t>
        </is>
      </c>
      <c r="D9" t="n">
        <v>2.5</v>
      </c>
      <c r="E9">
        <f>IFERROR(VLOOKUP(H9,BangGia!$D$2:$E$7,2,FALSE),"Kiểm tra mã vận đơn")</f>
        <v/>
      </c>
      <c r="F9" t="inlineStr">
        <is>
          <t>Giao thành công</t>
        </is>
      </c>
      <c r="G9" t="n">
        <v>39</v>
      </c>
      <c r="H9">
        <f>B9&amp;"|"&amp;C9</f>
        <v/>
      </c>
    </row>
    <row r="10">
      <c r="A10" t="inlineStr">
        <is>
          <t>FM1009</t>
        </is>
      </c>
      <c r="B10" t="inlineStr">
        <is>
          <t>NHANH</t>
        </is>
      </c>
      <c r="C10" t="inlineStr">
        <is>
          <t>Hà Nội</t>
        </is>
      </c>
      <c r="D10" t="n">
        <v>1</v>
      </c>
      <c r="E10">
        <f>IFERROR(VLOOKUP(H10,BangGia!$D$2:$E$7,2,FALSE),"Kiểm tra mã vận đơn")</f>
        <v/>
      </c>
      <c r="F10" t="inlineStr">
        <is>
          <t>Hoàn</t>
        </is>
      </c>
      <c r="G10" t="n">
        <v>51</v>
      </c>
      <c r="H10">
        <f>B10&amp;"|"&amp;C10</f>
        <v/>
      </c>
    </row>
    <row r="11">
      <c r="A11" t="inlineStr">
        <is>
          <t>FM1010</t>
        </is>
      </c>
      <c r="B11" t="inlineStr">
        <is>
          <t>NỘI THÀNH</t>
        </is>
      </c>
      <c r="C11" t="inlineStr">
        <is>
          <t>Đà Nẵng</t>
        </is>
      </c>
      <c r="D11" t="n">
        <v>1.5</v>
      </c>
      <c r="E11">
        <f>IFERROR(VLOOKUP(H11,BangGia!$D$2:$E$7,2,FALSE),"Kiểm tra mã vận đơn")</f>
        <v/>
      </c>
      <c r="F11" t="inlineStr">
        <is>
          <t>Giao đúng hạn</t>
        </is>
      </c>
      <c r="G11" t="n">
        <v>20</v>
      </c>
      <c r="H11">
        <f>B11&amp;"|"&amp;C11</f>
        <v/>
      </c>
    </row>
    <row r="12">
      <c r="A12" t="inlineStr">
        <is>
          <t>FM1011</t>
        </is>
      </c>
      <c r="B12" t="inlineStr">
        <is>
          <t>LIÊN TỈNH</t>
        </is>
      </c>
      <c r="C12" t="inlineStr">
        <is>
          <t>Hà Nội</t>
        </is>
      </c>
      <c r="D12" t="n">
        <v>2</v>
      </c>
      <c r="E12">
        <f>IFERROR(VLOOKUP(H12,BangGia!$D$2:$E$7,2,FALSE),"Kiểm tra mã vận đơn")</f>
        <v/>
      </c>
      <c r="F12" t="inlineStr">
        <is>
          <t>Giao thành công</t>
        </is>
      </c>
      <c r="G12" t="n">
        <v>24</v>
      </c>
      <c r="H12">
        <f>B12&amp;"|"&amp;C12</f>
        <v/>
      </c>
    </row>
    <row r="13">
      <c r="A13" t="inlineStr">
        <is>
          <t>FM1012</t>
        </is>
      </c>
      <c r="B13" t="inlineStr">
        <is>
          <t>UNKNOWN</t>
        </is>
      </c>
      <c r="C13" t="inlineStr">
        <is>
          <t>Hà Nội</t>
        </is>
      </c>
      <c r="D13" t="n">
        <v>2.5</v>
      </c>
      <c r="E13">
        <f>IFERROR(VLOOKUP(H13,BangGia!$D$2:$E$7,2,FALSE),"Kiểm tra mã vận đơn")</f>
        <v/>
      </c>
      <c r="F13" t="inlineStr">
        <is>
          <t>Chờ kiểm tra</t>
        </is>
      </c>
      <c r="G13" t="n">
        <v>15</v>
      </c>
      <c r="H13">
        <f>B13&amp;"|"&amp;C13</f>
        <v/>
      </c>
    </row>
  </sheetData>
  <autoFilter ref="A1:G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8" customWidth="1" min="4" max="4"/>
    <col width="22" customWidth="1" min="5" max="5"/>
  </cols>
  <sheetData>
    <row r="1">
      <c r="A1" s="2" t="inlineStr">
        <is>
          <t>Mã dịch vụ</t>
        </is>
      </c>
      <c r="B1" s="2" t="inlineStr">
        <is>
          <t>Khu vực</t>
        </is>
      </c>
      <c r="C1" s="2" t="inlineStr">
        <is>
          <t>Giá cước (VNĐ)</t>
        </is>
      </c>
      <c r="D1" t="inlineStr">
        <is>
          <t>Khóa tra cứu</t>
        </is>
      </c>
      <c r="E1" t="inlineStr">
        <is>
          <t>Giá cước trả về</t>
        </is>
      </c>
    </row>
    <row r="2">
      <c r="A2" t="inlineStr">
        <is>
          <t>NỘI THÀNH</t>
        </is>
      </c>
      <c r="B2" t="inlineStr">
        <is>
          <t>Hà Nội</t>
        </is>
      </c>
      <c r="C2" t="n">
        <v>25000</v>
      </c>
      <c r="D2">
        <f>A2&amp;"|"&amp;B2</f>
        <v/>
      </c>
      <c r="E2">
        <f>C2</f>
        <v/>
      </c>
    </row>
    <row r="3">
      <c r="A3" t="inlineStr">
        <is>
          <t>LIÊN TỈNH</t>
        </is>
      </c>
      <c r="B3" t="inlineStr">
        <is>
          <t>Hải Phòng</t>
        </is>
      </c>
      <c r="C3" t="n">
        <v>45000</v>
      </c>
      <c r="D3">
        <f>A3&amp;"|"&amp;B3</f>
        <v/>
      </c>
      <c r="E3">
        <f>C3</f>
        <v/>
      </c>
    </row>
    <row r="4">
      <c r="A4" t="inlineStr">
        <is>
          <t>LIÊN TỈNH</t>
        </is>
      </c>
      <c r="B4" t="inlineStr">
        <is>
          <t>TP.HCM</t>
        </is>
      </c>
      <c r="C4" t="n">
        <v>65000</v>
      </c>
      <c r="D4">
        <f>A4&amp;"|"&amp;B4</f>
        <v/>
      </c>
      <c r="E4">
        <f>C4</f>
        <v/>
      </c>
    </row>
    <row r="5">
      <c r="A5" t="inlineStr">
        <is>
          <t>NHANH</t>
        </is>
      </c>
      <c r="B5" t="inlineStr">
        <is>
          <t>Đà Nẵng</t>
        </is>
      </c>
      <c r="C5" t="n">
        <v>55000</v>
      </c>
      <c r="D5">
        <f>A5&amp;"|"&amp;B5</f>
        <v/>
      </c>
      <c r="E5">
        <f>C5</f>
        <v/>
      </c>
    </row>
    <row r="6">
      <c r="A6" t="inlineStr">
        <is>
          <t>NHANH</t>
        </is>
      </c>
      <c r="B6" t="inlineStr">
        <is>
          <t>Hà Nội</t>
        </is>
      </c>
      <c r="C6" t="n">
        <v>40000</v>
      </c>
      <c r="D6">
        <f>A6&amp;"|"&amp;B6</f>
        <v/>
      </c>
      <c r="E6">
        <f>C6</f>
        <v/>
      </c>
    </row>
    <row r="7">
      <c r="A7" t="inlineStr">
        <is>
          <t>NỘI THÀNH</t>
        </is>
      </c>
      <c r="B7" t="inlineStr">
        <is>
          <t>Đà Nẵng</t>
        </is>
      </c>
      <c r="C7" t="n">
        <v>30000</v>
      </c>
      <c r="D7">
        <f>A7&amp;"|"&amp;B7</f>
        <v/>
      </c>
      <c r="E7">
        <f>C7</f>
        <v/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HƯỚNG DẪN</t>
        </is>
      </c>
      <c r="B1" s="3" t="inlineStr">
        <is>
          <t>NỘI DUNG</t>
        </is>
      </c>
    </row>
    <row r="2">
      <c r="A2" s="4" t="inlineStr">
        <is>
          <t>Công thức tra cước</t>
        </is>
      </c>
      <c r="B2" s="4">
        <f>IFERROR(VLOOKUP(H2,BangGia!$D$2:$E$7,2,FALSE),"Kiểm tra mã vận đơn")</f>
        <v/>
      </c>
    </row>
    <row r="3">
      <c r="A3" s="4" t="inlineStr">
        <is>
          <t>Mapping tham số</t>
        </is>
      </c>
      <c r="B3" s="4" t="inlineStr">
        <is>
          <t>H2 = giá trị cần tìm; BangGia!$D$2:$E$7 = vùng tra cứu cố định; 2 = cột giá trả về; FALSE = khớp chính xác.</t>
        </is>
      </c>
    </row>
    <row r="4">
      <c r="A4" s="4" t="inlineStr">
        <is>
          <t>Kéo xuống 500 dòng</t>
        </is>
      </c>
      <c r="B4" s="4" t="inlineStr">
        <is>
          <t>Dấu $ cố định vùng tra cứu. Trong file mẫu, kéo công thức tại E2 xuống các dòng tiếp theo.</t>
        </is>
      </c>
    </row>
    <row r="5">
      <c r="A5" s="4" t="inlineStr">
        <is>
          <t>Kiểm thử lỗi #N/A</t>
        </is>
      </c>
      <c r="B5" s="4" t="inlineStr">
        <is>
          <t>Mã không có trong bảng giá sẽ hiện “Kiểm tra mã vận đơn” nhờ IFERROR.</t>
        </is>
      </c>
    </row>
    <row r="6">
      <c r="A6" s="4" t="inlineStr">
        <is>
          <t>Chuẩn hóa ký tự</t>
        </is>
      </c>
      <c r="B6" s="4" t="inlineStr">
        <is>
          <t>Dùng =TRIM(CLEAN(SUBSTITUTE(A2,CHAR(160)," "))) cho mã cần làm sạch.</t>
        </is>
      </c>
    </row>
    <row r="7">
      <c r="A7" s="4" t="inlineStr">
        <is>
          <t>Quy tắc vàng</t>
        </is>
      </c>
      <c r="B7" s="4" t="inlineStr">
        <is>
          <t>Không gộp ô; một hàng tiêu đề; không dòng trống/tổng giữa bảng; một kiểu dữ liệu mỗi cột; mỗi dòng một bản ghi.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2026-10-26T16:41:36Z</dcterms:created>
  <dcterms:modified xmlns:dcterms="http://purl.org/dc/terms/" xmlns:xsi="http://www.w3.org/2001/XMLSchema-instance" xsi:type="dcterms:W3CDTF">2026-10-26T16:41:36Z</dcterms:modified>
</cp:coreProperties>
</file>